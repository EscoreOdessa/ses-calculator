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алькулятор" sheetId="1" state="visible" r:id="rId1"/>
    <sheet xmlns:r="http://schemas.openxmlformats.org/officeDocument/2006/relationships" name="Дані" sheetId="2" state="visible" r:id="rId2"/>
    <sheet xmlns:r="http://schemas.openxmlformats.org/officeDocument/2006/relationships" name="Інструкція" sheetId="3" state="visible" r:id="rId3"/>
    <sheet xmlns:r="http://schemas.openxmlformats.org/officeDocument/2006/relationships" name="Акумулятори LV" sheetId="4" state="visible" r:id="rId4"/>
    <sheet xmlns:r="http://schemas.openxmlformats.org/officeDocument/2006/relationships" name="Акумулятори HV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\$#,##0"/>
    <numFmt numFmtId="166" formatCode="0.0"/>
    <numFmt numFmtId="167" formatCode="#,##0 $"/>
    <numFmt numFmtId="168" formatCode="#,##0 &quot;грн&quot;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BFBFB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Arial"/>
      <charset val="1"/>
      <family val="0"/>
      <i val="1"/>
      <color rgb="FFC00000"/>
      <sz val="11"/>
    </font>
    <font>
      <b val="1"/>
      <sz val="13"/>
    </font>
    <font>
      <b val="1"/>
    </font>
    <font>
      <b val="1"/>
      <color rgb="00FFFFFF"/>
    </font>
    <font/>
  </fonts>
  <fills count="8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3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" fontId="7" fillId="3" borderId="1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1" fontId="6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center" vertical="bottom"/>
    </xf>
    <xf numFmtId="3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left" vertical="bottom"/>
    </xf>
    <xf numFmtId="3" fontId="6" fillId="0" borderId="0" applyAlignment="1" pivotButton="0" quotePrefix="0" xfId="0">
      <alignment horizontal="center" vertical="bottom"/>
    </xf>
    <xf numFmtId="165" fontId="6" fillId="0" borderId="0" applyAlignment="1" pivotButton="0" quotePrefix="0" xfId="0">
      <alignment horizontal="center" vertical="bottom"/>
    </xf>
    <xf numFmtId="2" fontId="7" fillId="3" borderId="1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166" fontId="7" fillId="3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3" fontId="7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" fontId="7" fillId="3" borderId="1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1" fontId="6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center" vertical="bottom"/>
    </xf>
    <xf numFmtId="3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left" vertical="bottom"/>
    </xf>
    <xf numFmtId="3" fontId="6" fillId="0" borderId="0" applyAlignment="1" pivotButton="0" quotePrefix="0" xfId="0">
      <alignment horizontal="center" vertical="bottom"/>
    </xf>
    <xf numFmtId="165" fontId="6" fillId="0" borderId="0" applyAlignment="1" pivotButton="0" quotePrefix="0" xfId="0">
      <alignment horizontal="center" vertical="bottom"/>
    </xf>
    <xf numFmtId="2" fontId="7" fillId="3" borderId="1" applyAlignment="1" pivotButton="0" quotePrefix="0" xfId="0">
      <alignment horizontal="center" vertical="bottom"/>
    </xf>
    <xf numFmtId="165" fontId="10" fillId="0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left" vertical="bottom"/>
    </xf>
    <xf numFmtId="164" fontId="9" fillId="5" borderId="0" applyAlignment="1" pivotButton="0" quotePrefix="0" xfId="0">
      <alignment horizontal="center" vertical="bottom"/>
    </xf>
    <xf numFmtId="166" fontId="13" fillId="4" borderId="2" applyAlignment="1" pivotButton="0" quotePrefix="0" xfId="0">
      <alignment horizontal="center" vertical="bottom"/>
    </xf>
    <xf numFmtId="1" fontId="6" fillId="5" borderId="0" applyAlignment="1" pivotButton="0" quotePrefix="0" xfId="0">
      <alignment horizontal="center" vertical="bottom"/>
    </xf>
    <xf numFmtId="164" fontId="6" fillId="5" borderId="0" applyAlignment="1" pivotButton="0" quotePrefix="0" xfId="0">
      <alignment horizontal="center" vertical="bottom"/>
    </xf>
    <xf numFmtId="0" fontId="0" fillId="5" borderId="0" pivotButton="0" quotePrefix="0" xfId="0"/>
    <xf numFmtId="164" fontId="0" fillId="5" borderId="0" pivotButton="0" quotePrefix="0" xfId="0"/>
    <xf numFmtId="167" fontId="13" fillId="0" borderId="0" pivotButton="0" quotePrefix="0" xfId="0"/>
    <xf numFmtId="0" fontId="5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12" fillId="0" borderId="0" pivotButton="0" quotePrefix="0" xfId="0"/>
    <xf numFmtId="0" fontId="13" fillId="0" borderId="0" pivotButton="0" quotePrefix="0" xfId="0"/>
    <xf numFmtId="0" fontId="13" fillId="4" borderId="2" pivotButton="0" quotePrefix="0" xfId="0"/>
    <xf numFmtId="164" fontId="0" fillId="5" borderId="2" pivotButton="0" quotePrefix="0" xfId="0"/>
    <xf numFmtId="167" fontId="0" fillId="5" borderId="2" pivotButton="0" quotePrefix="0" xfId="0"/>
    <xf numFmtId="0" fontId="14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167" fontId="0" fillId="0" borderId="2" pivotButton="0" quotePrefix="0" xfId="0"/>
    <xf numFmtId="0" fontId="0" fillId="5" borderId="2" pivotButton="0" quotePrefix="0" xfId="0"/>
    <xf numFmtId="1" fontId="0" fillId="5" borderId="2" pivotButton="0" quotePrefix="0" xfId="0"/>
    <xf numFmtId="0" fontId="15" fillId="5" borderId="2" applyAlignment="1" pivotButton="0" quotePrefix="0" xfId="0">
      <alignment horizontal="center" vertical="bottom"/>
    </xf>
    <xf numFmtId="0" fontId="13" fillId="7" borderId="0" pivotButton="0" quotePrefix="0" xfId="0"/>
    <xf numFmtId="0" fontId="13" fillId="4" borderId="0" pivotButton="0" quotePrefix="0" xfId="0"/>
    <xf numFmtId="167" fontId="0" fillId="5" borderId="0" pivotButton="0" quotePrefix="0" xfId="0"/>
    <xf numFmtId="0" fontId="14" fillId="6" borderId="0" pivotButton="0" quotePrefix="0" xfId="0"/>
    <xf numFmtId="0" fontId="0" fillId="6" borderId="0" pivotButton="0" quotePrefix="0" xfId="0"/>
    <xf numFmtId="168" fontId="13" fillId="0" borderId="0" pivotButton="0" quotePrefix="0" xfId="0"/>
    <xf numFmtId="167" fontId="0" fillId="0" borderId="0" pivotButton="0" quotePrefix="0" xfId="0"/>
    <xf numFmtId="0" fontId="13" fillId="5" borderId="2" pivotButton="0" quotePrefix="0" xfId="0"/>
    <xf numFmtId="0" fontId="13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G4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1" min="1" max="1"/>
    <col width="42" customWidth="1" style="21" min="2" max="2"/>
    <col width="20" customWidth="1" style="21" min="3" max="3"/>
    <col width="3" customWidth="1" style="21" min="4" max="4"/>
    <col width="40" customWidth="1" style="21" min="5" max="5"/>
    <col hidden="1" width="13" customWidth="1" style="21" min="7" max="7"/>
  </cols>
  <sheetData>
    <row r="1" ht="17.35" customHeight="1" s="22">
      <c r="B1" s="23" t="inlineStr">
        <is>
          <t>Калькулятор потужності та ціни СЕС (перший дзвінок)</t>
        </is>
      </c>
    </row>
    <row r="3" ht="15" customHeight="1" s="22">
      <c r="B3" s="24" t="inlineStr">
        <is>
          <t>Введення даних (заповнює менеджер)</t>
        </is>
      </c>
      <c r="C3" s="24" t="n"/>
      <c r="D3" s="24" t="n"/>
      <c r="E3" s="24" t="n"/>
    </row>
    <row r="4" ht="15" customHeight="1" s="22">
      <c r="B4" s="25" t="inlineStr">
        <is>
          <t>Місячне споживання, кВт·год</t>
        </is>
      </c>
      <c r="C4" s="26" t="n">
        <v>9000</v>
      </c>
    </row>
    <row r="5" ht="15" customHeight="1" s="22">
      <c r="B5" s="25" t="inlineStr">
        <is>
          <t>Тип станції</t>
        </is>
      </c>
      <c r="C5" s="27" t="inlineStr">
        <is>
          <t>Мережева</t>
        </is>
      </c>
      <c r="G5" s="28">
        <f>IF(C5="Мережева","мережева","гібридна")</f>
        <v/>
      </c>
    </row>
    <row r="6" ht="15" customHeight="1" s="22">
      <c r="B6" s="25" t="inlineStr">
        <is>
          <t>Розташування</t>
        </is>
      </c>
      <c r="C6" s="27" t="inlineStr">
        <is>
          <t>Дах</t>
        </is>
      </c>
      <c r="G6" s="28">
        <f>IF(C6="Дах","дах","земля")</f>
        <v/>
      </c>
    </row>
    <row r="7" ht="15" customHeight="1" s="22">
      <c r="B7" s="25" t="inlineStr">
        <is>
          <t>Форма оплати</t>
        </is>
      </c>
      <c r="C7" s="27" t="inlineStr">
        <is>
          <t>Готівка</t>
        </is>
      </c>
      <c r="G7" s="28">
        <f>IF(C7="Готівка","готівка","ПДВ")</f>
        <v/>
      </c>
    </row>
    <row r="8" ht="15" customHeight="1" s="22">
      <c r="B8" s="25" t="inlineStr">
        <is>
          <t>Години автономії (тільки для гібридної)</t>
        </is>
      </c>
      <c r="C8" s="29" t="n"/>
    </row>
    <row r="10" ht="15" customHeight="1" s="22">
      <c r="B10" s="24" t="inlineStr">
        <is>
          <t>Розрахунок потужності</t>
        </is>
      </c>
      <c r="C10" s="24" t="n"/>
      <c r="D10" s="24" t="n"/>
      <c r="E10" s="24" t="n"/>
    </row>
    <row r="11" ht="15" customHeight="1" s="22">
      <c r="B11" s="25" t="inlineStr">
        <is>
          <t>Добове споживання, кВт·год</t>
        </is>
      </c>
      <c r="C11" s="30">
        <f>C4/30</f>
        <v/>
      </c>
    </row>
    <row r="12" ht="15" customHeight="1" s="22">
      <c r="B12" s="25" t="inlineStr">
        <is>
          <t>Денне споживання 80%, кВт·год</t>
        </is>
      </c>
      <c r="C12" s="30">
        <f>C11*0.8</f>
        <v/>
      </c>
    </row>
    <row r="13" ht="15" customHeight="1" s="22">
      <c r="B13" s="25" t="inlineStr">
        <is>
          <t>Нічне споживання 20%, кВт·год</t>
        </is>
      </c>
      <c r="C13" s="30">
        <f>C11*0.2</f>
        <v/>
      </c>
    </row>
    <row r="14" ht="15" customHeight="1" s="22">
      <c r="B14" s="25" t="inlineStr">
        <is>
          <t>Денні години (8:00–20:00)</t>
        </is>
      </c>
      <c r="C14" s="31">
        <f>12</f>
        <v/>
      </c>
    </row>
    <row r="15" ht="15" customHeight="1" s="22">
      <c r="B15" s="32" t="inlineStr">
        <is>
          <t>Цільова потужність (середнє денне), кВт</t>
        </is>
      </c>
      <c r="C15" s="33">
        <f>C12/C14</f>
        <v/>
      </c>
    </row>
    <row r="17" ht="15" customHeight="1" s="22">
      <c r="B17" s="24" t="inlineStr">
        <is>
          <t>Підбір обладнання</t>
        </is>
      </c>
      <c r="C17" s="24" t="n"/>
      <c r="D17" s="24" t="n"/>
      <c r="E17" s="24" t="n"/>
    </row>
    <row r="18" ht="15" customHeight="1" s="22">
      <c r="B18" s="32" t="inlineStr">
        <is>
          <t>Підібраний інвертор DEYE, кВт</t>
        </is>
      </c>
      <c r="C18" s="34">
        <f>IF(C5="Мережева",IF(SUMPRODUCT(MAX((Дані!$A$2:$A$18&lt;=C15*1.1)*Дані!$A$2:$A$18))=0,MIN(Дані!$A$2:$A$18),SUMPRODUCT(MAX((Дані!$A$2:$A$18&lt;=C15*1.1)*Дані!$A$2:$A$18))),IF(SUMPRODUCT(MAX((Дані!$C$2:$C$18&lt;=C15*1.1)*Дані!$C$2:$C$18))=0,MIN(Дані!$C$2:$C$18),SUMPRODUCT(MAX((Дані!$C$2:$C$18&lt;=C15*1.1)*Дані!$C$2:$C$18))))</f>
        <v/>
      </c>
    </row>
    <row r="19" ht="15" customHeight="1" s="22">
      <c r="B19" s="25" t="inlineStr">
        <is>
          <t>Примітка</t>
        </is>
      </c>
      <c r="C19" s="35">
        <f>IF(C5="Мережева",IF(C15*1.1&lt;MIN(Дані!$A$2:$A$18),"Менше мін. — взято мінімальну станцію",""),IF(C15*1.1&lt;MIN(Дані!$C$2:$C$18),"Менше мін. — взято мінімальну станцію",""))</f>
        <v/>
      </c>
    </row>
    <row r="20">
      <c r="B20" s="25" t="inlineStr">
        <is>
          <t>Панелі (потужність і кількість)</t>
        </is>
      </c>
      <c r="C20" s="71">
        <f>"500 Вт/шт × "&amp;C42&amp;" шт = "&amp;TEXT(C42*0.5,"0.0")&amp;" кВт"</f>
        <v/>
      </c>
    </row>
    <row r="21" ht="15" customHeight="1" s="22">
      <c r="B21" s="24" t="inlineStr">
        <is>
          <t>Орієнтовна ціна</t>
        </is>
      </c>
      <c r="C21" s="24" t="n"/>
      <c r="D21" s="24" t="n"/>
      <c r="E21" s="24" t="n"/>
    </row>
    <row r="22" ht="15" customHeight="1" s="22">
      <c r="B22" s="25" t="inlineStr">
        <is>
          <t>Потужність станції для ціни, кВт</t>
        </is>
      </c>
      <c r="C22" s="36">
        <f>C18</f>
        <v/>
      </c>
      <c r="G22" s="28">
        <f>IF(C22&lt;=75,50,100)</f>
        <v/>
      </c>
    </row>
    <row r="23" ht="15" customHeight="1" s="22">
      <c r="B23" s="25" t="inlineStr">
        <is>
          <t>Ціна за кВт, $</t>
        </is>
      </c>
      <c r="C23" s="37">
        <f>IFERROR(VLOOKUP(G5&amp;"|"&amp;G6&amp;"|"&amp;G7&amp;"|"&amp;G22,Дані!$L$2:$M$8,2,0),"уточнити у менеджера")</f>
        <v/>
      </c>
    </row>
    <row r="24" ht="15" customHeight="1" s="22">
      <c r="B24" s="25" t="inlineStr">
        <is>
          <t>Курс, грн/$</t>
        </is>
      </c>
      <c r="C24" s="38" t="n">
        <v>44.3</v>
      </c>
    </row>
    <row r="25" ht="15" customHeight="1" s="22">
      <c r="B25" s="32" t="inlineStr">
        <is>
          <t>Орієнтовна ціна, $</t>
        </is>
      </c>
      <c r="C25" s="39">
        <f>IF(ISNUMBER(C23),C22*C23,"уточнити у менеджера")</f>
        <v/>
      </c>
    </row>
    <row r="26" ht="15" customHeight="1" s="22">
      <c r="B26" s="32" t="inlineStr">
        <is>
          <t>Орієнтовна ціна, грн</t>
        </is>
      </c>
      <c r="C26" s="34">
        <f>IF(ISNUMBER(C25),C25*C24,"уточнити у менеджера")</f>
        <v/>
      </c>
    </row>
    <row r="28" ht="15" customHeight="1" s="22">
      <c r="B28" s="40" t="inlineStr">
        <is>
          <t>Автономія та комплект АКБ (тільки для гібридної станції)</t>
        </is>
      </c>
      <c r="C28" s="24" t="n"/>
      <c r="D28" s="24" t="n"/>
      <c r="E28" s="24" t="n"/>
    </row>
    <row r="29" ht="15" customHeight="1" s="22">
      <c r="B29" s="32" t="inlineStr">
        <is>
          <t>Потрібна ємність АКБ, кВт·год</t>
        </is>
      </c>
      <c r="C29" s="41">
        <f>IF(C5="Гібридна",C8*C11/24,"—")</f>
        <v/>
      </c>
    </row>
    <row r="30" ht="15" customHeight="1" s="22">
      <c r="B30" s="25" t="inlineStr">
        <is>
          <t>Система АКБ (авто: LV / HV)</t>
        </is>
      </c>
      <c r="C30" s="61">
        <f>IF(C5="Гібридна",IF(N(C29)&gt;50,"HV","LV"),"—")</f>
        <v/>
      </c>
    </row>
    <row r="31" ht="15" customHeight="1" s="22">
      <c r="B31" s="25" t="inlineStr">
        <is>
          <t>Підібрана модель АКБ</t>
        </is>
      </c>
      <c r="C31" s="43">
        <f>IF(C5="Гібридна",IF(C30="LV",'Акумулятори LV'!$B$3,'Акумулятори HV'!$Q$3),"—")</f>
        <v/>
      </c>
    </row>
    <row r="32" ht="15" customHeight="1" s="22">
      <c r="B32" s="25" t="inlineStr">
        <is>
          <t>Ємність одного модуля, кВт·год</t>
        </is>
      </c>
      <c r="C32" s="44">
        <f>IF(C30="LV",'Акумулятори LV'!$B$4,'Акумулятори HV'!$Q$4)</f>
        <v/>
      </c>
    </row>
    <row r="33">
      <c r="B33" s="21" t="inlineStr">
        <is>
          <t>Кількість модулів АКБ</t>
        </is>
      </c>
      <c r="C33" s="45">
        <f>IF(C5="Гібридна",IF(C8&gt;0,CEILING(C29/C32,1),0),"—")</f>
        <v/>
      </c>
    </row>
    <row r="34">
      <c r="B34" s="21" t="inlineStr">
        <is>
          <t>Підсумкова ємність АКБ, кВт·год</t>
        </is>
      </c>
      <c r="C34" s="46">
        <f>IF(C5="Гібридна",IF(C8&gt;0,C33*C32,0),"—")</f>
        <v/>
      </c>
    </row>
    <row r="35">
      <c r="B35" s="21" t="inlineStr">
        <is>
          <t>BMS (модель)</t>
        </is>
      </c>
      <c r="C35" s="45">
        <f>IF(C5="Гібридна",IF(C30="LV","вбудований",'Акумулятори HV'!$Q$7),"—")</f>
        <v/>
      </c>
    </row>
    <row r="36">
      <c r="B36" s="21" t="inlineStr">
        <is>
          <t>Стійка (модель)</t>
        </is>
      </c>
      <c r="C36" s="45">
        <f>IF(C5="Гібридна",IF(C30="LV","—",'Акумулятори HV'!$Q$10),"—")</f>
        <v/>
      </c>
    </row>
    <row r="37">
      <c r="B37" s="21" t="inlineStr">
        <is>
          <t>Кількість стійок / BMS, шт</t>
        </is>
      </c>
      <c r="C37" s="45">
        <f>IF(C5="Гібридна",IF(C8&gt;0,IF(C30="LV",0,CEILING(C33/'Акумулятори HV'!$Q$11,1)),0),"—")</f>
        <v/>
      </c>
    </row>
    <row r="38">
      <c r="B38" s="21" t="inlineStr">
        <is>
          <t>Ціна комплекту АКБ з ПДВ, $</t>
        </is>
      </c>
      <c r="C38" s="47">
        <f>IF(C5="Гібридна",IF(C8&gt;0,C33*IF(C30="LV",'Акумулятори LV'!$B$5,'Акумулятори HV'!$Q$5)+C37*IF(C30="LV",0,'Акумулятори HV'!$Q$8)+C37*IF(C30="LV",0,'Акумулятори HV'!$Q$12),0),"—")</f>
        <v/>
      </c>
    </row>
    <row r="39">
      <c r="B39" s="21" t="inlineStr">
        <is>
          <t>Ціна комплекту АКБ без ПДВ, $</t>
        </is>
      </c>
      <c r="C39" s="47">
        <f>IF(C5="Гібридна",IF(C8&gt;0,C33*IF(C30="LV",'Акумулятори LV'!$B$6,'Акумулятори HV'!$Q$6)+C37*IF(C30="LV",0,'Акумулятори HV'!$Q$9)+C37*IF(C30="LV",0,'Акумулятори HV'!$Q$13),0),"—")</f>
        <v/>
      </c>
    </row>
    <row r="41">
      <c r="B41" s="62" t="inlineStr">
        <is>
          <t>Кріплення (монтаж панелей)</t>
        </is>
      </c>
    </row>
    <row r="42">
      <c r="B42" s="21" t="inlineStr">
        <is>
          <t>Кількість панелей (≈, 500 Вт/шт)</t>
        </is>
      </c>
      <c r="C42" s="45">
        <f>CEILING(C22/0.5,1)</f>
        <v/>
      </c>
    </row>
    <row r="43">
      <c r="B43" s="21" t="inlineStr">
        <is>
          <t>Тип даху</t>
        </is>
      </c>
      <c r="C43" s="63" t="inlineStr">
        <is>
          <t>Профнастил</t>
        </is>
      </c>
    </row>
    <row r="44">
      <c r="B44" s="21" t="inlineStr">
        <is>
          <t>Ціна кріплення за панель, $</t>
        </is>
      </c>
      <c r="C44" s="64">
        <f>VLOOKUP(C43,Дані!$O$2:$P$6,2,0)</f>
        <v/>
      </c>
    </row>
    <row r="45">
      <c r="B45" s="21" t="inlineStr">
        <is>
          <t>Вартість кріплень, $</t>
        </is>
      </c>
      <c r="C45" s="47">
        <f>IF(C6="Дах",C42*C44,"уточнити у менеджера (наземна)")</f>
        <v/>
      </c>
    </row>
    <row r="47">
      <c r="B47" s="65" t="inlineStr">
        <is>
          <t>РАЗОМ ПО СЕС</t>
        </is>
      </c>
      <c r="C47" s="66" t="n"/>
    </row>
    <row r="48">
      <c r="B48" s="21" t="inlineStr">
        <is>
          <t>Сумарна ціна СЕС, $</t>
        </is>
      </c>
      <c r="C48" s="47">
        <f>IF(AND(ISNUMBER(C25),ISNUMBER(C45)),C25+IF(C5="Гібридна",IF(C7="Готівка",C39,C38),0)+C45,"уточнити у менеджера")</f>
        <v/>
      </c>
    </row>
    <row r="49">
      <c r="B49" s="21" t="inlineStr">
        <is>
          <t>Сумарна ціна СЕС, грн</t>
        </is>
      </c>
      <c r="C49" s="67">
        <f>IF(ISNUMBER(C48),C48*C24,"уточнити у менеджера")</f>
        <v/>
      </c>
    </row>
  </sheetData>
  <mergeCells count="1">
    <mergeCell ref="B1:E1"/>
  </mergeCells>
  <dataValidations count="4">
    <dataValidation sqref="C5" showDropDown="0" showInputMessage="0" showErrorMessage="1" allowBlank="0" errorTitle="Недопустиме значення" error="Оберіть тип станції зі списку" type="list">
      <formula1>"Мережева,Гібридна"</formula1>
    </dataValidation>
    <dataValidation sqref="C6" showDropDown="0" showInputMessage="0" showErrorMessage="1" allowBlank="0" errorTitle="Недопустиме значення" error="Оберіть розташування зі списку" type="list">
      <formula1>"Дах,Земля"</formula1>
    </dataValidation>
    <dataValidation sqref="C7" showDropDown="0" showInputMessage="0" showErrorMessage="1" allowBlank="0" errorTitle="Недопустиме значення" error="Оберіть форму оплати зі списку" type="list">
      <formula1>"Готівка,ПДВ"</formula1>
    </dataValidation>
    <dataValidation sqref="C43" showDropDown="0" showInputMessage="0" showErrorMessage="1" allowBlank="0" errorTitle="Недопустиме значення" error="Оберіть тип даху зі списку" type="list">
      <formula1>"Профнастил,Плаский дах,Вітровий спойлер (багатоповерхівка),Керамічна черепиця,Скатний дах"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21" min="1" max="1"/>
    <col width="28" customWidth="1" style="21" min="3" max="3"/>
    <col width="12" customWidth="1" style="21" min="8" max="8"/>
    <col width="14" customWidth="1" style="21" min="9" max="9"/>
    <col width="11" customWidth="1" style="21" min="10" max="10"/>
    <col width="16" customWidth="1" style="21" min="11" max="11"/>
    <col width="26" customWidth="1" style="21" min="12" max="12"/>
    <col width="12" customWidth="1" style="21" min="13" max="13"/>
    <col width="34" customWidth="1" style="22" min="15" max="15"/>
    <col width="26" customWidth="1" style="22" min="16" max="16"/>
  </cols>
  <sheetData>
    <row r="1" ht="15" customHeight="1" s="22">
      <c r="A1" s="48" t="inlineStr">
        <is>
          <t>Інвертор DEYE мережевий, кВт</t>
        </is>
      </c>
      <c r="C1" s="48" t="inlineStr">
        <is>
          <t>Інвертор DEYE гібридний, кВт</t>
        </is>
      </c>
      <c r="H1" s="48" t="inlineStr">
        <is>
          <t>Вид</t>
        </is>
      </c>
      <c r="I1" s="48" t="inlineStr">
        <is>
          <t>Розташування</t>
        </is>
      </c>
      <c r="J1" s="48" t="inlineStr">
        <is>
          <t>Оплата</t>
        </is>
      </c>
      <c r="K1" s="48" t="inlineStr">
        <is>
          <t>Потужність, кВт</t>
        </is>
      </c>
      <c r="L1" s="48" t="inlineStr">
        <is>
          <t>Ключ</t>
        </is>
      </c>
      <c r="M1" s="48" t="inlineStr">
        <is>
          <t>Ціна, $/кВт</t>
        </is>
      </c>
      <c r="O1" s="51" t="inlineStr">
        <is>
          <t>Тип даху</t>
        </is>
      </c>
      <c r="P1" s="51" t="inlineStr">
        <is>
          <t>Ціна кріплення за панель, $</t>
        </is>
      </c>
    </row>
    <row r="2" ht="15" customHeight="1" s="22">
      <c r="A2" s="25" t="n">
        <v>10</v>
      </c>
      <c r="C2" s="25" t="n">
        <v>5</v>
      </c>
      <c r="H2" s="25" t="inlineStr">
        <is>
          <t>мережева</t>
        </is>
      </c>
      <c r="I2" s="25" t="inlineStr">
        <is>
          <t>дах</t>
        </is>
      </c>
      <c r="J2" s="25" t="inlineStr">
        <is>
          <t>готівка</t>
        </is>
      </c>
      <c r="K2" s="25" t="n">
        <v>50</v>
      </c>
      <c r="L2" s="25">
        <f>H2&amp;"|"&amp;I2&amp;"|"&amp;J2&amp;"|"&amp;K2</f>
        <v/>
      </c>
      <c r="M2" s="49" t="n">
        <v>340</v>
      </c>
      <c r="O2" s="21" t="inlineStr">
        <is>
          <t>Профнастил</t>
        </is>
      </c>
      <c r="P2" s="68" t="n">
        <v>12</v>
      </c>
    </row>
    <row r="3" ht="15" customHeight="1" s="22">
      <c r="A3" s="25" t="n">
        <v>15</v>
      </c>
      <c r="C3" s="25" t="n">
        <v>6</v>
      </c>
      <c r="H3" s="25" t="inlineStr">
        <is>
          <t>мережева</t>
        </is>
      </c>
      <c r="I3" s="25" t="inlineStr">
        <is>
          <t>дах</t>
        </is>
      </c>
      <c r="J3" s="25" t="inlineStr">
        <is>
          <t>ПДВ</t>
        </is>
      </c>
      <c r="K3" s="25" t="n">
        <v>50</v>
      </c>
      <c r="L3" s="25">
        <f>H3&amp;"|"&amp;I3&amp;"|"&amp;J3&amp;"|"&amp;K3</f>
        <v/>
      </c>
      <c r="M3" s="49" t="n">
        <v>400</v>
      </c>
      <c r="O3" s="21" t="inlineStr">
        <is>
          <t>Плаский дах</t>
        </is>
      </c>
      <c r="P3" s="68" t="n">
        <v>38</v>
      </c>
    </row>
    <row r="4" ht="15" customHeight="1" s="22">
      <c r="A4" s="25" t="n">
        <v>18</v>
      </c>
      <c r="C4" s="25" t="n">
        <v>8</v>
      </c>
      <c r="H4" s="25" t="inlineStr">
        <is>
          <t>гібридна</t>
        </is>
      </c>
      <c r="I4" s="25" t="inlineStr">
        <is>
          <t>дах</t>
        </is>
      </c>
      <c r="J4" s="25" t="inlineStr">
        <is>
          <t>готівка</t>
        </is>
      </c>
      <c r="K4" s="25" t="n">
        <v>50</v>
      </c>
      <c r="L4" s="25">
        <f>H4&amp;"|"&amp;I4&amp;"|"&amp;J4&amp;"|"&amp;K4</f>
        <v/>
      </c>
      <c r="M4" s="49" t="n">
        <v>600</v>
      </c>
      <c r="O4" s="21" t="inlineStr">
        <is>
          <t>Вітровий спойлер (багатоповерхівка)</t>
        </is>
      </c>
      <c r="P4" s="68" t="n">
        <v>40</v>
      </c>
    </row>
    <row r="5" ht="15" customHeight="1" s="22">
      <c r="A5" s="25" t="n">
        <v>20</v>
      </c>
      <c r="C5" s="25" t="n">
        <v>10</v>
      </c>
      <c r="H5" s="25" t="inlineStr">
        <is>
          <t>мережева</t>
        </is>
      </c>
      <c r="I5" s="25" t="inlineStr">
        <is>
          <t>дах</t>
        </is>
      </c>
      <c r="J5" s="25" t="inlineStr">
        <is>
          <t>готівка</t>
        </is>
      </c>
      <c r="K5" s="25" t="n">
        <v>100</v>
      </c>
      <c r="L5" s="25">
        <f>H5&amp;"|"&amp;I5&amp;"|"&amp;J5&amp;"|"&amp;K5</f>
        <v/>
      </c>
      <c r="M5" s="49" t="n">
        <v>310</v>
      </c>
      <c r="O5" s="21" t="inlineStr">
        <is>
          <t>Керамічна черепиця</t>
        </is>
      </c>
      <c r="P5" s="68" t="n">
        <v>42</v>
      </c>
    </row>
    <row r="6" ht="15" customHeight="1" s="22">
      <c r="A6" s="25" t="n">
        <v>25</v>
      </c>
      <c r="C6" s="25" t="n">
        <v>12</v>
      </c>
      <c r="H6" s="25" t="inlineStr">
        <is>
          <t>мережева</t>
        </is>
      </c>
      <c r="I6" s="25" t="inlineStr">
        <is>
          <t>дах</t>
        </is>
      </c>
      <c r="J6" s="25" t="inlineStr">
        <is>
          <t>ПДВ</t>
        </is>
      </c>
      <c r="K6" s="25" t="n">
        <v>100</v>
      </c>
      <c r="L6" s="25">
        <f>H6&amp;"|"&amp;I6&amp;"|"&amp;J6&amp;"|"&amp;K6</f>
        <v/>
      </c>
      <c r="M6" s="49" t="n">
        <v>360</v>
      </c>
      <c r="O6" s="21" t="inlineStr">
        <is>
          <t>Скатний дах</t>
        </is>
      </c>
      <c r="P6" s="68" t="n">
        <v>20</v>
      </c>
    </row>
    <row r="7" ht="15" customHeight="1" s="22">
      <c r="A7" s="25" t="n">
        <v>30</v>
      </c>
      <c r="C7" s="25" t="n">
        <v>14</v>
      </c>
      <c r="H7" s="25" t="inlineStr">
        <is>
          <t>мережева</t>
        </is>
      </c>
      <c r="I7" s="25" t="inlineStr">
        <is>
          <t>земля</t>
        </is>
      </c>
      <c r="J7" s="25" t="inlineStr">
        <is>
          <t>готівка</t>
        </is>
      </c>
      <c r="K7" s="25" t="n">
        <v>100</v>
      </c>
      <c r="L7" s="25">
        <f>H7&amp;"|"&amp;I7&amp;"|"&amp;J7&amp;"|"&amp;K7</f>
        <v/>
      </c>
      <c r="M7" s="49" t="n">
        <v>432</v>
      </c>
    </row>
    <row r="8" ht="15" customHeight="1" s="22">
      <c r="A8" s="25" t="n">
        <v>35</v>
      </c>
      <c r="C8" s="25" t="n">
        <v>15</v>
      </c>
      <c r="H8" s="25" t="inlineStr">
        <is>
          <t>гібридна</t>
        </is>
      </c>
      <c r="I8" s="25" t="inlineStr">
        <is>
          <t>дах</t>
        </is>
      </c>
      <c r="J8" s="25" t="inlineStr">
        <is>
          <t>готівка</t>
        </is>
      </c>
      <c r="K8" s="25" t="n">
        <v>100</v>
      </c>
      <c r="L8" s="25">
        <f>H8&amp;"|"&amp;I8&amp;"|"&amp;J8&amp;"|"&amp;K8</f>
        <v/>
      </c>
      <c r="M8" s="49" t="n">
        <v>557</v>
      </c>
    </row>
    <row r="9" ht="15" customHeight="1" s="22">
      <c r="A9" s="25" t="n">
        <v>45</v>
      </c>
      <c r="C9" s="25" t="n">
        <v>16</v>
      </c>
    </row>
    <row r="10" ht="15" customHeight="1" s="22">
      <c r="A10" s="25" t="n">
        <v>50</v>
      </c>
      <c r="C10" s="25" t="n">
        <v>18</v>
      </c>
    </row>
    <row r="11" ht="15" customHeight="1" s="22">
      <c r="A11" s="25" t="n">
        <v>60</v>
      </c>
      <c r="C11" s="25" t="n">
        <v>20</v>
      </c>
    </row>
    <row r="12" ht="15" customHeight="1" s="22">
      <c r="A12" s="25" t="n">
        <v>80</v>
      </c>
      <c r="C12" s="25" t="n">
        <v>25</v>
      </c>
    </row>
    <row r="13" ht="15" customHeight="1" s="22">
      <c r="A13" s="25" t="n">
        <v>100</v>
      </c>
      <c r="C13" s="25" t="n">
        <v>30</v>
      </c>
    </row>
    <row r="14" ht="15" customHeight="1" s="22">
      <c r="A14" s="25" t="n">
        <v>110</v>
      </c>
      <c r="C14" s="25" t="n">
        <v>40</v>
      </c>
    </row>
    <row r="15" ht="15" customHeight="1" s="22">
      <c r="A15" s="25" t="n">
        <v>120</v>
      </c>
      <c r="C15" s="25" t="n">
        <v>50</v>
      </c>
    </row>
    <row r="16" ht="15" customHeight="1" s="22">
      <c r="A16" s="25" t="n">
        <v>125</v>
      </c>
      <c r="C16" s="25" t="n">
        <v>60</v>
      </c>
    </row>
    <row r="17" ht="15" customHeight="1" s="22">
      <c r="A17" s="25" t="n">
        <v>130</v>
      </c>
      <c r="C17" s="25" t="n">
        <v>75</v>
      </c>
    </row>
    <row r="18" ht="15" customHeight="1" s="22">
      <c r="A18" s="25" t="n">
        <v>135</v>
      </c>
      <c r="C18" s="25" t="n">
        <v>80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5" customWidth="1" style="21" min="1" max="1"/>
  </cols>
  <sheetData>
    <row r="1" ht="15" customHeight="1" s="22">
      <c r="A1" s="70" t="inlineStr">
        <is>
          <t>Як користуватися калькулятором:</t>
        </is>
      </c>
    </row>
    <row r="2" ht="15" customHeight="1" s="22">
      <c r="A2" s="25" t="inlineStr">
        <is>
          <t>1. Заповніть жовті клітинки на аркуші «Калькулятор» (перелік нижче).</t>
        </is>
      </c>
    </row>
    <row r="3" ht="15" customHeight="1" s="22">
      <c r="A3" s="25" t="inlineStr">
        <is>
          <t>2. Для гібридної станції вкажіть кількість годин автономії.</t>
        </is>
      </c>
    </row>
    <row r="4" ht="15" customHeight="1" s="22">
      <c r="A4" s="25" t="inlineStr">
        <is>
          <t>3. Решта рахується автоматично: потужність, інвертор, ціна, АКБ та кріплення.</t>
        </is>
      </c>
    </row>
    <row r="5" ht="15" customHeight="1" s="22">
      <c r="A5" s="25" t="inlineStr"/>
    </row>
    <row r="6" ht="15" customHeight="1" s="22">
      <c r="A6" s="70" t="inlineStr">
        <is>
          <t>Які клітинки заповнює менеджер вручну (жовті):</t>
        </is>
      </c>
    </row>
    <row r="7" ht="15" customHeight="1" s="22">
      <c r="A7" s="25" t="inlineStr">
        <is>
          <t>• C4 — Місячне споживання, кВт·год</t>
        </is>
      </c>
    </row>
    <row r="8" ht="15" customHeight="1" s="22">
      <c r="A8" s="25" t="inlineStr">
        <is>
          <t>• C5 — Тип станції: Мережева / Гібридна</t>
        </is>
      </c>
    </row>
    <row r="9" ht="15" customHeight="1" s="22">
      <c r="A9" s="25" t="inlineStr">
        <is>
          <t>• C6 — Розташування: Дах / Земля</t>
        </is>
      </c>
    </row>
    <row r="10" ht="15" customHeight="1" s="22">
      <c r="A10" s="25" t="inlineStr">
        <is>
          <t>• C7 — Форма оплати: Готівка / ПДВ</t>
        </is>
      </c>
    </row>
    <row r="11" ht="15" customHeight="1" s="22">
      <c r="A11" s="25" t="inlineStr">
        <is>
          <t>• C8 — Години автономії (тільки для гібридної станції)</t>
        </is>
      </c>
    </row>
    <row r="12" ht="15" customHeight="1" s="22">
      <c r="A12" s="25" t="inlineStr">
        <is>
          <t>• C24 — Курс, грн/$ (оновлювати за потреби)</t>
        </is>
      </c>
    </row>
    <row r="13" ht="15" customHeight="1" s="22">
      <c r="A13" s="25" t="inlineStr">
        <is>
          <t>• C43 — Тип даху (вибір зі списку)</t>
        </is>
      </c>
    </row>
    <row r="14" ht="15" customHeight="1" s="22">
      <c r="A14" s="25" t="inlineStr"/>
    </row>
    <row r="15" ht="15" customHeight="1" s="22">
      <c r="A15" s="70" t="inlineStr">
        <is>
          <t>Логіка потужності та ціни:</t>
        </is>
      </c>
    </row>
    <row r="16">
      <c r="A16" s="21" t="inlineStr">
        <is>
          <t>• Добове споживання = місячне / 30.</t>
        </is>
      </c>
    </row>
    <row r="17">
      <c r="A17" s="51" t="inlineStr">
        <is>
          <t>• День 80% / ніч 20%. Денні години — з 8:00 до 20:00 (12 год).</t>
        </is>
      </c>
    </row>
    <row r="18">
      <c r="A18" s="21" t="inlineStr">
        <is>
          <t>• Цільова потужність = денне споживання / 12.</t>
        </is>
      </c>
    </row>
    <row r="19">
      <c r="A19" s="21" t="inlineStr">
        <is>
          <t>• Інвертор DEYE — максимально близький до цільової, але не вище неї більш ніж на 10%.</t>
        </is>
      </c>
    </row>
    <row r="20">
      <c r="A20" s="21" t="inlineStr">
        <is>
          <t>• Ціна станції = потужність × ціна за кВт (аркуш «Дані», за видом/розташуванням/оплатою/рівнем 50 або 100 кВт).</t>
        </is>
      </c>
    </row>
    <row r="21">
      <c r="A21" s="21" t="inlineStr">
        <is>
          <t>• Якщо поєднання немає в таблиці цін — виводиться «уточнити у менеджера».</t>
        </is>
      </c>
    </row>
    <row r="22">
      <c r="A22" s="21" t="inlineStr"/>
    </row>
    <row r="23">
      <c r="A23" s="70" t="inlineStr">
        <is>
          <t>Підбір АКБ (тільки гібрид; аркуші «Акумулятори LV» та «Акумулятори HV»):</t>
        </is>
      </c>
    </row>
    <row r="24">
      <c r="A24" s="21" t="inlineStr">
        <is>
          <t>• Потрібна ємність = години автономії × добове / 24.</t>
        </is>
      </c>
    </row>
    <row r="25">
      <c r="A25" s="51" t="inlineStr">
        <is>
          <t>• Система LV/HV — автоматично: до 50 кВт·год → LV (BMS вбудований), понад 50 → HV (окремий BMS + стійка).</t>
        </is>
      </c>
    </row>
    <row r="26">
      <c r="A26" s="21" t="inlineStr">
        <is>
          <t>• Модель АКБ підбирається автоматично з усього каталогу за правилом «найкраще заповнення» (мінімум зайвої ємності).</t>
        </is>
      </c>
    </row>
    <row r="27">
      <c r="A27" s="21" t="inlineStr">
        <is>
          <t>• Кількість модулів = потрібна ємність / ємність модуля (округлення вгору).</t>
        </is>
      </c>
    </row>
    <row r="28">
      <c r="A28" s="21" t="inlineStr">
        <is>
          <t>• Для HV: кількість стійок і BMS = модулі / батарей на стійку (округлення вгору).</t>
        </is>
      </c>
    </row>
    <row r="29">
      <c r="A29" s="21" t="inlineStr">
        <is>
          <t>• Ціна комплекту АКБ = батареї + BMS + стійки (з ПДВ і без ПДВ).</t>
        </is>
      </c>
    </row>
    <row r="30">
      <c r="A30" s="21" t="inlineStr"/>
    </row>
    <row r="31">
      <c r="A31" s="70" t="inlineStr">
        <is>
          <t>Кріплення та підсумок:</t>
        </is>
      </c>
    </row>
    <row r="32">
      <c r="A32" s="21" t="inlineStr">
        <is>
          <t>• Кількість панелей = потужність станції / 0,5 (1 панель ≈ 500 Вт).</t>
        </is>
      </c>
    </row>
    <row r="33">
      <c r="A33" s="21" t="inlineStr">
        <is>
          <t>• Тип даху (C43): Профнастил $12 / Плаский дах $38 / Вітровий спойлер $40 / Керамічна черепиця $42 / Скатний дах $20 (за панель).</t>
        </is>
      </c>
    </row>
    <row r="34">
      <c r="A34" s="21" t="inlineStr">
        <is>
          <t>• Вартість кріплень = панелі × ціна за панель.</t>
        </is>
      </c>
    </row>
    <row r="35">
      <c r="A35" s="21" t="inlineStr">
        <is>
          <t>• Для наземної станції ціна кріплень не задана — «уточнити у менеджера».</t>
        </is>
      </c>
    </row>
    <row r="36">
      <c r="A36" s="21" t="inlineStr">
        <is>
          <t>• «Сумарна ціна СЕС» = станція + комплект АКБ + кріплення (у $ і грн). У підсумку АКБ береться за формою оплати: Готівка → без ПДВ, ПДВ → з ПДВ.</t>
        </is>
      </c>
    </row>
    <row r="37">
      <c r="A37" s="51" t="inlineStr"/>
    </row>
    <row r="38">
      <c r="A38" s="21" t="inlineStr">
        <is>
          <t>Таблиці інверторів, цін і типів даху редагуються на аркуші «Дані».</t>
        </is>
      </c>
    </row>
    <row r="39">
      <c r="A39" s="21" t="n"/>
    </row>
    <row r="40">
      <c r="A40" s="21" t="n"/>
    </row>
    <row r="41">
      <c r="A41" s="21" t="n"/>
    </row>
    <row r="42">
      <c r="A42" s="2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6" customWidth="1" style="22" min="1" max="1"/>
    <col width="42" customWidth="1" style="22" min="2" max="2"/>
    <col width="15" customWidth="1" style="22" min="3" max="3"/>
    <col width="12" customWidth="1" style="22" min="4" max="4"/>
    <col width="14" customWidth="1" style="22" min="5" max="5"/>
    <col width="15" customWidth="1" style="22" min="6" max="6"/>
    <col width="14" customWidth="1" style="22" min="8" max="8"/>
    <col width="14" customWidth="1" style="22" min="9" max="9"/>
  </cols>
  <sheetData>
    <row r="1">
      <c r="A1" s="50" t="inlineStr">
        <is>
          <t>Акумулятори LV (низьковольтні, 48–51.2 В) — BMS вбудований у модуль</t>
        </is>
      </c>
    </row>
    <row r="3">
      <c r="A3" s="51" t="inlineStr">
        <is>
          <t>Авто-модель LV (найкраще заповнення) →</t>
        </is>
      </c>
      <c r="B3" s="69">
        <f>IF(N('Калькулятор'!$C$29)&gt;0,INDEX($A$9:$A$21,MATCH(MIN($I$9:$I$21),$I$9:$I$21,0)),INDEX($A$9:$A$21,MATCH(MAX($C$9:$C$21),$C$9:$C$21,0)))</f>
        <v/>
      </c>
    </row>
    <row r="4">
      <c r="A4" s="51" t="inlineStr">
        <is>
          <t>Ємність модуля, кВт·год</t>
        </is>
      </c>
      <c r="B4" s="53">
        <f>VLOOKUP($B$3,$A$9:$F$21,3,0)</f>
        <v/>
      </c>
    </row>
    <row r="5">
      <c r="A5" s="51" t="inlineStr">
        <is>
          <t>Ціна модуля з ПДВ, $</t>
        </is>
      </c>
      <c r="B5" s="54">
        <f>VLOOKUP($B$3,$A$9:$F$21,5,0)</f>
        <v/>
      </c>
    </row>
    <row r="6">
      <c r="A6" s="51" t="inlineStr">
        <is>
          <t>Ціна модуля без ПДВ, $</t>
        </is>
      </c>
      <c r="B6" s="54">
        <f>VLOOKUP($B$3,$A$9:$F$21,6,0)</f>
        <v/>
      </c>
    </row>
    <row r="8">
      <c r="A8" s="55" t="inlineStr">
        <is>
          <t>Модель</t>
        </is>
      </c>
      <c r="B8" s="55" t="inlineStr">
        <is>
          <t>Опис</t>
        </is>
      </c>
      <c r="C8" s="55" t="inlineStr">
        <is>
          <t>Ємність, кВт·год</t>
        </is>
      </c>
      <c r="D8" s="55" t="inlineStr">
        <is>
          <t>Напруга, В</t>
        </is>
      </c>
      <c r="E8" s="55" t="inlineStr">
        <is>
          <t>Ціна з ПДВ, $</t>
        </is>
      </c>
      <c r="F8" s="55" t="inlineStr">
        <is>
          <t>Ціна без ПДВ, $</t>
        </is>
      </c>
      <c r="H8" s="51" t="inlineStr">
        <is>
          <t>Модулів (авто)</t>
        </is>
      </c>
      <c r="I8" s="51" t="inlineStr">
        <is>
          <t>Зайва ємність (оцінка)</t>
        </is>
      </c>
    </row>
    <row r="9">
      <c r="A9" s="56" t="inlineStr">
        <is>
          <t>SE-F16-С</t>
        </is>
      </c>
      <c r="B9" s="56" t="inlineStr">
        <is>
          <t>DEYE SE-F16-С LiFePO4 LV 51.2V 314Ah</t>
        </is>
      </c>
      <c r="C9" s="57" t="n">
        <v>16</v>
      </c>
      <c r="D9" s="57" t="n">
        <v>51.2</v>
      </c>
      <c r="E9" s="58" t="n">
        <v>2080</v>
      </c>
      <c r="F9" s="58" t="n">
        <v>1800</v>
      </c>
      <c r="H9" s="21">
        <f>IF(N('Калькулятор'!$C$29)&gt;0,CEILING('Калькулятор'!$C$29/C9,1),0)</f>
        <v/>
      </c>
      <c r="I9" s="21">
        <f>IF(N('Калькулятор'!$C$29)&gt;0,H9*C9-'Калькулятор'!$C$29+H9*0.0001,"")</f>
        <v/>
      </c>
    </row>
    <row r="10">
      <c r="A10" s="56" t="inlineStr">
        <is>
          <t>RW-F16</t>
        </is>
      </c>
      <c r="B10" s="56" t="inlineStr">
        <is>
          <t>DEYE RW-F16 LiFePO4 LV 51.2V 314Ah</t>
        </is>
      </c>
      <c r="C10" s="57" t="n">
        <v>14.4</v>
      </c>
      <c r="D10" s="57" t="n">
        <v>51.2</v>
      </c>
      <c r="E10" s="58" t="n">
        <v>2275</v>
      </c>
      <c r="F10" s="58" t="n">
        <v>1935</v>
      </c>
      <c r="H10" s="21">
        <f>IF(N('Калькулятор'!$C$29)&gt;0,CEILING('Калькулятор'!$C$29/C10,1),0)</f>
        <v/>
      </c>
      <c r="I10" s="21">
        <f>IF(N('Калькулятор'!$C$29)&gt;0,H10*C10-'Калькулятор'!$C$29+H10*0.0001,"")</f>
        <v/>
      </c>
    </row>
    <row r="11">
      <c r="A11" s="56" t="inlineStr">
        <is>
          <t>SE-F12-C</t>
        </is>
      </c>
      <c r="B11" s="56" t="inlineStr">
        <is>
          <t>DEYE SE-F12-C LiFePO4 LV 51.2V 230Ah</t>
        </is>
      </c>
      <c r="C11" s="57" t="n">
        <v>11.8</v>
      </c>
      <c r="D11" s="57" t="n">
        <v>51.2</v>
      </c>
      <c r="E11" s="58" t="n">
        <v>1650</v>
      </c>
      <c r="F11" s="58" t="n">
        <v>1470</v>
      </c>
      <c r="H11" s="21">
        <f>IF(N('Калькулятор'!$C$29)&gt;0,CEILING('Калькулятор'!$C$29/C11,1),0)</f>
        <v/>
      </c>
      <c r="I11" s="21">
        <f>IF(N('Калькулятор'!$C$29)&gt;0,H11*C11-'Калькулятор'!$C$29+H11*0.0001,"")</f>
        <v/>
      </c>
    </row>
    <row r="12">
      <c r="A12" s="56" t="inlineStr">
        <is>
          <t>SE-F5 Pro-C</t>
        </is>
      </c>
      <c r="B12" s="56" t="inlineStr">
        <is>
          <t>DEYE SE-F5 Pro LiFePO4 LV 51.2V 100Ah</t>
        </is>
      </c>
      <c r="C12" s="57" t="n">
        <v>5.12</v>
      </c>
      <c r="D12" s="57" t="n">
        <v>51.2</v>
      </c>
      <c r="E12" s="58" t="n">
        <v>850</v>
      </c>
      <c r="F12" s="58" t="n">
        <v>720</v>
      </c>
      <c r="H12" s="21">
        <f>IF(N('Калькулятор'!$C$29)&gt;0,CEILING('Калькулятор'!$C$29/C12,1),0)</f>
        <v/>
      </c>
      <c r="I12" s="21">
        <f>IF(N('Калькулятор'!$C$29)&gt;0,H12*C12-'Калькулятор'!$C$29+H12*0.0001,"")</f>
        <v/>
      </c>
    </row>
    <row r="13">
      <c r="A13" s="56" t="inlineStr">
        <is>
          <t>SE-G5.1 Pro-B</t>
        </is>
      </c>
      <c r="B13" s="56" t="inlineStr">
        <is>
          <t>DEYE SE-G5.1 Pro-B LiFePO4 LV 51.2V 100Ah</t>
        </is>
      </c>
      <c r="C13" s="57" t="n">
        <v>5.12</v>
      </c>
      <c r="D13" s="57" t="n">
        <v>51.2</v>
      </c>
      <c r="E13" s="58" t="n">
        <v>880</v>
      </c>
      <c r="F13" s="58" t="n">
        <v>750</v>
      </c>
      <c r="H13" s="21">
        <f>IF(N('Калькулятор'!$C$29)&gt;0,CEILING('Калькулятор'!$C$29/C13,1),0)</f>
        <v/>
      </c>
      <c r="I13" s="21">
        <f>IF(N('Калькулятор'!$C$29)&gt;0,H13*C13-'Калькулятор'!$C$29+H13*0.0001,"")</f>
        <v/>
      </c>
    </row>
    <row r="14">
      <c r="A14" s="56" t="inlineStr">
        <is>
          <t>DL5.0C-H</t>
        </is>
      </c>
      <c r="B14" s="56" t="inlineStr">
        <is>
          <t>Dyness DL5.0C Heat LiFePO4 51.2V 100Ah</t>
        </is>
      </c>
      <c r="C14" s="57" t="n">
        <v>5.12</v>
      </c>
      <c r="D14" s="57" t="n">
        <v>51.2</v>
      </c>
      <c r="E14" s="58" t="n">
        <v>810</v>
      </c>
      <c r="F14" s="58" t="n">
        <v>720</v>
      </c>
      <c r="H14" s="21">
        <f>IF(N('Калькулятор'!$C$29)&gt;0,CEILING('Калькулятор'!$C$29/C14,1),0)</f>
        <v/>
      </c>
      <c r="I14" s="21">
        <f>IF(N('Калькулятор'!$C$29)&gt;0,H14*C14-'Калькулятор'!$C$29+H14*0.0001,"")</f>
        <v/>
      </c>
    </row>
    <row r="15">
      <c r="A15" s="56" t="inlineStr">
        <is>
          <t>DL5.0C Pro</t>
        </is>
      </c>
      <c r="B15" s="56" t="inlineStr">
        <is>
          <t>Dyness DL5.0C Pro LiFePO4 51.2V 100Ah</t>
        </is>
      </c>
      <c r="C15" s="57" t="n">
        <v>5.12</v>
      </c>
      <c r="D15" s="57" t="n">
        <v>51.2</v>
      </c>
      <c r="E15" s="58" t="n">
        <v>870</v>
      </c>
      <c r="F15" s="58" t="n">
        <v>770</v>
      </c>
      <c r="H15" s="21">
        <f>IF(N('Калькулятор'!$C$29)&gt;0,CEILING('Калькулятор'!$C$29/C15,1),0)</f>
        <v/>
      </c>
      <c r="I15" s="21">
        <f>IF(N('Калькулятор'!$C$29)&gt;0,H15*C15-'Калькулятор'!$C$29+H15*0.0001,"")</f>
        <v/>
      </c>
    </row>
    <row r="16">
      <c r="A16" s="56" t="inlineStr">
        <is>
          <t>Powerbrick</t>
        </is>
      </c>
      <c r="B16" s="56" t="inlineStr">
        <is>
          <t>Dyness Powerbrick LiFePO4 51.2V 280Ah</t>
        </is>
      </c>
      <c r="C16" s="57" t="n">
        <v>14.4</v>
      </c>
      <c r="D16" s="57" t="n">
        <v>51.2</v>
      </c>
      <c r="E16" s="58" t="n">
        <v>2130</v>
      </c>
      <c r="F16" s="58" t="n">
        <v>1950</v>
      </c>
      <c r="H16" s="21">
        <f>IF(N('Калькулятор'!$C$29)&gt;0,CEILING('Калькулятор'!$C$29/C16,1),0)</f>
        <v/>
      </c>
      <c r="I16" s="21">
        <f>IF(N('Калькулятор'!$C$29)&gt;0,H16*C16-'Калькулятор'!$C$29+H16*0.0001,"")</f>
        <v/>
      </c>
    </row>
    <row r="17">
      <c r="A17" s="56" t="inlineStr">
        <is>
          <t>RS-R51100A</t>
        </is>
      </c>
      <c r="B17" s="56" t="inlineStr">
        <is>
          <t>Ecosolex RS-R51100A LV 51.2V 100Ah</t>
        </is>
      </c>
      <c r="C17" s="57" t="n">
        <v>5.12</v>
      </c>
      <c r="D17" s="57" t="n">
        <v>51.2</v>
      </c>
      <c r="E17" s="58" t="n">
        <v>780</v>
      </c>
      <c r="F17" s="58" t="n">
        <v>660</v>
      </c>
      <c r="H17" s="21">
        <f>IF(N('Калькулятор'!$C$29)&gt;0,CEILING('Калькулятор'!$C$29/C17,1),0)</f>
        <v/>
      </c>
      <c r="I17" s="21">
        <f>IF(N('Калькулятор'!$C$29)&gt;0,H17*C17-'Калькулятор'!$C$29+H17*0.0001,"")</f>
        <v/>
      </c>
    </row>
    <row r="18">
      <c r="A18" s="56" t="inlineStr">
        <is>
          <t>GSL051200AB</t>
        </is>
      </c>
      <c r="B18" s="56" t="inlineStr">
        <is>
          <t>GSL LV 51.2V 200Ah</t>
        </is>
      </c>
      <c r="C18" s="57" t="n">
        <v>10.24</v>
      </c>
      <c r="D18" s="57" t="n">
        <v>51.2</v>
      </c>
      <c r="E18" s="58" t="n">
        <v>1650</v>
      </c>
      <c r="F18" s="58" t="n">
        <v>1450</v>
      </c>
      <c r="H18" s="21">
        <f>IF(N('Калькулятор'!$C$29)&gt;0,CEILING('Калькулятор'!$C$29/C18,1),0)</f>
        <v/>
      </c>
      <c r="I18" s="21">
        <f>IF(N('Калькулятор'!$C$29)&gt;0,H18*C18-'Калькулятор'!$C$29+H18*0.0001,"")</f>
        <v/>
      </c>
    </row>
    <row r="19">
      <c r="A19" s="56" t="inlineStr">
        <is>
          <t>GSL051100AB</t>
        </is>
      </c>
      <c r="B19" s="56" t="inlineStr">
        <is>
          <t>GSL LV 51.2V 100Ah</t>
        </is>
      </c>
      <c r="C19" s="57" t="n">
        <v>5.12</v>
      </c>
      <c r="D19" s="57" t="n">
        <v>51.2</v>
      </c>
      <c r="E19" s="58" t="n">
        <v>830</v>
      </c>
      <c r="F19" s="58" t="n">
        <v>710</v>
      </c>
      <c r="H19" s="21">
        <f>IF(N('Калькулятор'!$C$29)&gt;0,CEILING('Калькулятор'!$C$29/C19,1),0)</f>
        <v/>
      </c>
      <c r="I19" s="21">
        <f>IF(N('Калькулятор'!$C$29)&gt;0,H19*C19-'Калькулятор'!$C$29+H19*0.0001,"")</f>
        <v/>
      </c>
    </row>
    <row r="20">
      <c r="A20" s="56" t="inlineStr">
        <is>
          <t>GSL51100-3.5U</t>
        </is>
      </c>
      <c r="B20" s="56" t="inlineStr">
        <is>
          <t>GSL51100 LV 51.2V 100Ah</t>
        </is>
      </c>
      <c r="C20" s="57" t="n">
        <v>5.12</v>
      </c>
      <c r="D20" s="57" t="n">
        <v>51.2</v>
      </c>
      <c r="E20" s="58" t="n">
        <v>775</v>
      </c>
      <c r="F20" s="58" t="n">
        <v>675</v>
      </c>
      <c r="H20" s="21">
        <f>IF(N('Калькулятор'!$C$29)&gt;0,CEILING('Калькулятор'!$C$29/C20,1),0)</f>
        <v/>
      </c>
      <c r="I20" s="21">
        <f>IF(N('Калькулятор'!$C$29)&gt;0,H20*C20-'Калькулятор'!$C$29+H20*0.0001,"")</f>
        <v/>
      </c>
    </row>
    <row r="21">
      <c r="A21" s="56" t="inlineStr">
        <is>
          <t>ZN-P48100ESA1</t>
        </is>
      </c>
      <c r="B21" s="56" t="inlineStr">
        <is>
          <t>GSL LV 48V 100Ah</t>
        </is>
      </c>
      <c r="C21" s="57" t="n">
        <v>4.8</v>
      </c>
      <c r="D21" s="57" t="n">
        <v>48</v>
      </c>
      <c r="E21" s="58" t="n">
        <v>750</v>
      </c>
      <c r="F21" s="58" t="n">
        <v>650</v>
      </c>
      <c r="H21" s="21">
        <f>IF(N('Калькулятор'!$C$29)&gt;0,CEILING('Калькулятор'!$C$29/C21,1),0)</f>
        <v/>
      </c>
      <c r="I21" s="21">
        <f>IF(N('Калькулятор'!$C$29)&gt;0,H21*C21-'Калькулятор'!$C$29+H21*0.0001,"")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40" customWidth="1" style="22" min="2" max="2"/>
    <col width="13" customWidth="1" style="22" min="3" max="3"/>
    <col width="15" customWidth="1" style="22" min="4" max="4"/>
    <col width="16" customWidth="1" style="22" min="5" max="5"/>
    <col width="24" customWidth="1" style="22" min="6" max="6"/>
    <col width="12" customWidth="1" style="22" min="7" max="7"/>
    <col width="13" customWidth="1" style="22" min="8" max="8"/>
    <col width="18" customWidth="1" style="22" min="9" max="9"/>
    <col width="15" customWidth="1" style="22" min="10" max="10"/>
    <col width="13" customWidth="1" style="22" min="11" max="11"/>
    <col width="14" customWidth="1" style="22" min="12" max="12"/>
    <col width="22" customWidth="1" style="22" min="15" max="15"/>
    <col width="22" customWidth="1" style="22" min="17" max="17"/>
    <col width="13" customWidth="1" style="22" min="19" max="19"/>
    <col width="13" customWidth="1" style="22" min="20" max="20"/>
    <col width="13" customWidth="1" style="22" min="21" max="21"/>
  </cols>
  <sheetData>
    <row r="1">
      <c r="A1" s="50" t="inlineStr">
        <is>
          <t>Акумулятори HV (високовольтні) — окремий BMS + стійка</t>
        </is>
      </c>
    </row>
    <row r="2">
      <c r="O2" s="51" t="inlineStr">
        <is>
          <t>Підбір для калькулятора</t>
        </is>
      </c>
    </row>
    <row r="3">
      <c r="O3" s="51" t="inlineStr">
        <is>
          <t>Авто-модель HV (найкраще заповнення) →</t>
        </is>
      </c>
      <c r="Q3" s="69">
        <f>IF(N('Калькулятор'!$C$29)&gt;0,INDEX($A$9:$A$13,MATCH(MIN($U$9:$U$13),$U$9:$U$13,0)),INDEX($A$9:$A$13,MATCH(MAX($C$9:$C$13),$C$9:$C$13,0)))</f>
        <v/>
      </c>
    </row>
    <row r="4">
      <c r="O4" s="51" t="inlineStr">
        <is>
          <t>Ємність модуля, кВт·год</t>
        </is>
      </c>
      <c r="Q4" s="53">
        <f>VLOOKUP($Q$3,$A$9:$M$13,3,0)</f>
        <v/>
      </c>
    </row>
    <row r="5">
      <c r="O5" s="51" t="inlineStr">
        <is>
          <t>Ціна модуля з ПДВ, $</t>
        </is>
      </c>
      <c r="Q5" s="54">
        <f>VLOOKUP($Q$3,$A$9:$M$13,4,0)</f>
        <v/>
      </c>
    </row>
    <row r="6">
      <c r="O6" s="51" t="inlineStr">
        <is>
          <t>Ціна модуля без ПДВ, $</t>
        </is>
      </c>
      <c r="Q6" s="54">
        <f>VLOOKUP($Q$3,$A$9:$M$13,5,0)</f>
        <v/>
      </c>
    </row>
    <row r="7">
      <c r="O7" s="51" t="inlineStr">
        <is>
          <t>BMS (модель)</t>
        </is>
      </c>
      <c r="Q7" s="59">
        <f>VLOOKUP($Q$3,$A$9:$M$13,6,0)</f>
        <v/>
      </c>
    </row>
    <row r="8">
      <c r="A8" s="55" t="inlineStr">
        <is>
          <t>Модель батареї</t>
        </is>
      </c>
      <c r="B8" s="55" t="inlineStr">
        <is>
          <t>Опис</t>
        </is>
      </c>
      <c r="C8" s="55" t="inlineStr">
        <is>
          <t>Ємність, кВт·год</t>
        </is>
      </c>
      <c r="D8" s="55" t="inlineStr">
        <is>
          <t>Ціна бат. з ПДВ, $</t>
        </is>
      </c>
      <c r="E8" s="55" t="inlineStr">
        <is>
          <t>Ціна бат. без ПДВ, $</t>
        </is>
      </c>
      <c r="F8" s="55" t="inlineStr">
        <is>
          <t>BMS модель</t>
        </is>
      </c>
      <c r="G8" s="55" t="inlineStr">
        <is>
          <t>BMS з ПДВ, $</t>
        </is>
      </c>
      <c r="H8" s="55" t="inlineStr">
        <is>
          <t>BMS без ПДВ, $</t>
        </is>
      </c>
      <c r="I8" s="55" t="inlineStr">
        <is>
          <t>Стійка модель</t>
        </is>
      </c>
      <c r="J8" s="55" t="inlineStr">
        <is>
          <t>Батарей на стійку</t>
        </is>
      </c>
      <c r="K8" s="55" t="inlineStr">
        <is>
          <t>Стійка з ПДВ, $</t>
        </is>
      </c>
      <c r="L8" s="55" t="inlineStr">
        <is>
          <t>Стійка без ПДВ, $</t>
        </is>
      </c>
      <c r="O8" s="51" t="inlineStr">
        <is>
          <t>Ціна BMS з ПДВ, $</t>
        </is>
      </c>
      <c r="Q8" s="54">
        <f>VLOOKUP($Q$3,$A$9:$M$13,7,0)</f>
        <v/>
      </c>
      <c r="S8" s="51" t="inlineStr">
        <is>
          <t>Модулів</t>
        </is>
      </c>
      <c r="T8" s="51" t="inlineStr">
        <is>
          <t>Стійок</t>
        </is>
      </c>
      <c r="U8" s="51" t="inlineStr">
        <is>
          <t>Зайва ємність (оцінка)</t>
        </is>
      </c>
    </row>
    <row r="9">
      <c r="A9" s="56" t="inlineStr">
        <is>
          <t>BOS-B-Pack16-A3</t>
        </is>
      </c>
      <c r="B9" s="56" t="inlineStr">
        <is>
          <t>DEYE BOS-B PRO LiFePO4 HV 51.2V 314Ah</t>
        </is>
      </c>
      <c r="C9" s="57" t="n">
        <v>16.08</v>
      </c>
      <c r="D9" s="58" t="n">
        <v>2040</v>
      </c>
      <c r="E9" s="58" t="n">
        <v>1750</v>
      </c>
      <c r="F9" s="56" t="inlineStr">
        <is>
          <t>BOS-B-PDU-2-А</t>
        </is>
      </c>
      <c r="G9" s="58" t="n">
        <v>1580</v>
      </c>
      <c r="H9" s="58" t="n">
        <v>1450</v>
      </c>
      <c r="I9" s="56" t="inlineStr">
        <is>
          <t>RACK/BOS-B-PRO</t>
        </is>
      </c>
      <c r="J9" s="56" t="n">
        <v>15</v>
      </c>
      <c r="K9" s="58" t="n">
        <v>770</v>
      </c>
      <c r="L9" s="58" t="n">
        <v>680</v>
      </c>
      <c r="O9" s="51" t="inlineStr">
        <is>
          <t>Ціна BMS без ПДВ, $</t>
        </is>
      </c>
      <c r="Q9" s="54">
        <f>VLOOKUP($Q$3,$A$9:$M$13,8,0)</f>
        <v/>
      </c>
      <c r="S9" s="21">
        <f>IF(N('Калькулятор'!$C$29)&gt;0,CEILING('Калькулятор'!$C$29/C9,1),0)</f>
        <v/>
      </c>
      <c r="T9" s="21">
        <f>IF(S9&gt;0,CEILING(S9/J9,1),0)</f>
        <v/>
      </c>
      <c r="U9" s="21">
        <f>IF(N('Калькулятор'!$C$29)&gt;0,S9*C9-'Калькулятор'!$C$29+S9*0.0001,"")</f>
        <v/>
      </c>
    </row>
    <row r="10">
      <c r="A10" s="56" t="inlineStr">
        <is>
          <t>BOS-G</t>
        </is>
      </c>
      <c r="B10" s="56" t="inlineStr">
        <is>
          <t>DEYE BOS-G LiFePO4 HV 51.2V 100Ah (no BMS)</t>
        </is>
      </c>
      <c r="C10" s="57" t="n">
        <v>5.12</v>
      </c>
      <c r="D10" s="58" t="n">
        <v>870</v>
      </c>
      <c r="E10" s="58" t="n">
        <v>755</v>
      </c>
      <c r="F10" s="56" t="inlineStr">
        <is>
          <t>BOS-G-PDU-2</t>
        </is>
      </c>
      <c r="G10" s="58" t="n">
        <v>870</v>
      </c>
      <c r="H10" s="58" t="n">
        <v>755</v>
      </c>
      <c r="I10" s="56" t="inlineStr">
        <is>
          <t>3U-LRACK</t>
        </is>
      </c>
      <c r="J10" s="56" t="n">
        <v>8</v>
      </c>
      <c r="K10" s="58" t="n">
        <v>330</v>
      </c>
      <c r="L10" s="58" t="n">
        <v>290</v>
      </c>
      <c r="O10" s="51" t="inlineStr">
        <is>
          <t>Стійка (модель)</t>
        </is>
      </c>
      <c r="Q10" s="59">
        <f>VLOOKUP($Q$3,$A$9:$M$13,9,0)</f>
        <v/>
      </c>
      <c r="S10" s="21">
        <f>IF(N('Калькулятор'!$C$29)&gt;0,CEILING('Калькулятор'!$C$29/C10,1),0)</f>
        <v/>
      </c>
      <c r="T10" s="21">
        <f>IF(S10&gt;0,CEILING(S10/J10,1),0)</f>
        <v/>
      </c>
      <c r="U10" s="21">
        <f>IF(N('Калькулятор'!$C$29)&gt;0,S10*C10-'Калькулятор'!$C$29+S10*0.0001,"")</f>
        <v/>
      </c>
    </row>
    <row r="11">
      <c r="A11" s="56" t="inlineStr">
        <is>
          <t>BOS-A</t>
        </is>
      </c>
      <c r="B11" s="56" t="inlineStr">
        <is>
          <t>DEYE BOS-A LiFePO4 HV 38.4V 200Ah</t>
        </is>
      </c>
      <c r="C11" s="57" t="n">
        <v>7.68</v>
      </c>
      <c r="D11" s="58" t="n">
        <v>1290</v>
      </c>
      <c r="E11" s="58" t="n">
        <v>1110</v>
      </c>
      <c r="F11" s="56" t="inlineStr">
        <is>
          <t>BOS-A-PDU-2 1000V/160A</t>
        </is>
      </c>
      <c r="G11" s="58" t="n">
        <v>1120</v>
      </c>
      <c r="H11" s="58" t="n">
        <v>960</v>
      </c>
      <c r="I11" s="56" t="inlineStr">
        <is>
          <t>BOS-A-Rack11</t>
        </is>
      </c>
      <c r="J11" s="56" t="n">
        <v>11</v>
      </c>
      <c r="K11" s="58" t="n">
        <v>370</v>
      </c>
      <c r="L11" s="58" t="n">
        <v>330</v>
      </c>
      <c r="O11" s="51" t="inlineStr">
        <is>
          <t>Батарей на стійку, шт</t>
        </is>
      </c>
      <c r="Q11" s="60">
        <f>VLOOKUP($Q$3,$A$9:$M$13,10,0)</f>
        <v/>
      </c>
      <c r="S11" s="21">
        <f>IF(N('Калькулятор'!$C$29)&gt;0,CEILING('Калькулятор'!$C$29/C11,1),0)</f>
        <v/>
      </c>
      <c r="T11" s="21">
        <f>IF(S11&gt;0,CEILING(S11/J11,1),0)</f>
        <v/>
      </c>
      <c r="U11" s="21">
        <f>IF(N('Калькулятор'!$C$29)&gt;0,S11*C11-'Калькулятор'!$C$29+S11*0.0001,"")</f>
        <v/>
      </c>
    </row>
    <row r="12">
      <c r="A12" s="56" t="inlineStr">
        <is>
          <t>GSL-51314HV</t>
        </is>
      </c>
      <c r="B12" s="56" t="inlineStr">
        <is>
          <t>GSL HV 51.2V 314Ah</t>
        </is>
      </c>
      <c r="C12" s="57" t="n">
        <v>16</v>
      </c>
      <c r="D12" s="58" t="n">
        <v>1840</v>
      </c>
      <c r="E12" s="58" t="n">
        <v>1660</v>
      </c>
      <c r="F12" s="56" t="inlineStr">
        <is>
          <t>BMS GSL51314 120-1000V 200A</t>
        </is>
      </c>
      <c r="G12" s="58" t="n">
        <v>1350</v>
      </c>
      <c r="H12" s="58" t="n">
        <v>1215</v>
      </c>
      <c r="I12" s="56" t="inlineStr">
        <is>
          <t>Стійка GSL 8 батарей</t>
        </is>
      </c>
      <c r="J12" s="56" t="n">
        <v>8</v>
      </c>
      <c r="K12" s="58" t="n">
        <v>480</v>
      </c>
      <c r="L12" s="58" t="n">
        <v>435</v>
      </c>
      <c r="O12" s="51" t="inlineStr">
        <is>
          <t>Ціна стійки з ПДВ, $</t>
        </is>
      </c>
      <c r="Q12" s="54">
        <f>VLOOKUP($Q$3,$A$9:$M$13,11,0)</f>
        <v/>
      </c>
      <c r="S12" s="21">
        <f>IF(N('Калькулятор'!$C$29)&gt;0,CEILING('Калькулятор'!$C$29/C12,1),0)</f>
        <v/>
      </c>
      <c r="T12" s="21">
        <f>IF(S12&gt;0,CEILING(S12/J12,1),0)</f>
        <v/>
      </c>
      <c r="U12" s="21">
        <f>IF(N('Калькулятор'!$C$29)&gt;0,S12*C12-'Калькулятор'!$C$29+S12*0.0001,"")</f>
        <v/>
      </c>
    </row>
    <row r="13">
      <c r="A13" s="56" t="inlineStr">
        <is>
          <t>S51100</t>
        </is>
      </c>
      <c r="B13" s="56" t="inlineStr">
        <is>
          <t>Dyness STACK HV 51.2V 100Ah</t>
        </is>
      </c>
      <c r="C13" s="57" t="n">
        <v>5.12</v>
      </c>
      <c r="D13" s="58" t="n">
        <v>860</v>
      </c>
      <c r="E13" s="58" t="n">
        <v>760</v>
      </c>
      <c r="F13" s="56" t="inlineStr">
        <is>
          <t>SBDU100</t>
        </is>
      </c>
      <c r="G13" s="58" t="n">
        <v>800</v>
      </c>
      <c r="H13" s="58" t="n">
        <v>710</v>
      </c>
      <c r="I13" s="56" t="inlineStr">
        <is>
          <t>QB32U8BAT</t>
        </is>
      </c>
      <c r="J13" s="56" t="n">
        <v>8</v>
      </c>
      <c r="K13" s="58" t="n">
        <v>215</v>
      </c>
      <c r="L13" s="58" t="n">
        <v>205</v>
      </c>
      <c r="O13" s="51" t="inlineStr">
        <is>
          <t>Ціна стійки без ПДВ, $</t>
        </is>
      </c>
      <c r="Q13" s="54">
        <f>VLOOKUP($Q$3,$A$9:$M$13,12,0)</f>
        <v/>
      </c>
      <c r="S13" s="21">
        <f>IF(N('Калькулятор'!$C$29)&gt;0,CEILING('Калькулятор'!$C$29/C13,1),0)</f>
        <v/>
      </c>
      <c r="T13" s="21">
        <f>IF(S13&gt;0,CEILING(S13/J13,1),0)</f>
        <v/>
      </c>
      <c r="U13" s="21">
        <f>IF(N('Калькулятор'!$C$29)&gt;0,S13*C13-'Калькулятор'!$C$29+S13*0.0001,"")</f>
        <v/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2026-06-26T13:32:00Z</dcterms:created>
  <dcterms:modified xmlns:dcterms="http://purl.org/dc/terms/" xmlns:xsi="http://www.w3.org/2001/XMLSchema-instance" xsi:type="dcterms:W3CDTF">2026-07-01T05:15:48Z</dcterms:modified>
  <cp:revision>0</cp:revision>
</cp:coreProperties>
</file>